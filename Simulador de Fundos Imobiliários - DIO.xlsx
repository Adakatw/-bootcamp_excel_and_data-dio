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PP" sheetId="1" state="visible" r:id="rId2"/>
    <sheet name="Planilha2" sheetId="2" state="visible" r:id="rId3"/>
  </sheets>
  <definedNames>
    <definedName function="false" hidden="false" name="aporte" vbProcedure="false">APP!$D$17</definedName>
    <definedName function="false" hidden="false" name="patrimonio" vbProcedure="false">APP!$D$20</definedName>
    <definedName function="false" hidden="false" name="qtd_anos" vbProcedure="false">APP!$D$18</definedName>
    <definedName function="false" hidden="false" name="rendimento_carteira" vbProcedure="false">APP!$D$13</definedName>
    <definedName function="false" hidden="false" name="salario" vbProcedure="false">APP!$D$12</definedName>
    <definedName function="false" hidden="false" name="sugestao_investimento" vbProcedure="false">APP!$D$14</definedName>
    <definedName function="false" hidden="false" name="taxa_mensal" vbProcedure="false">APP!$D$19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<sst xmlns="http://schemas.openxmlformats.org/spreadsheetml/2006/main" count="71" uniqueCount="34">
  <si>
    <t xml:space="preserve">CONFIGURAÇÕES</t>
  </si>
  <si>
    <t xml:space="preserve">Salário</t>
  </si>
  <si>
    <t xml:space="preserve">Rendimento Carteira</t>
  </si>
  <si>
    <t xml:space="preserve">Sugestão de Investimento (30%)</t>
  </si>
  <si>
    <t xml:space="preserve">INVESTIMENTO MENSAL</t>
  </si>
  <si>
    <t xml:space="preserve">Quanto investir por mês ?</t>
  </si>
  <si>
    <t xml:space="preserve">Por Quantos Anos ?</t>
  </si>
  <si>
    <t xml:space="preserve">Taxa de Rendimento mensal ?</t>
  </si>
  <si>
    <t xml:space="preserve">Patrimônio acumulado ?</t>
  </si>
  <si>
    <t xml:space="preserve">Dividendos Mensais ?</t>
  </si>
  <si>
    <t xml:space="preserve">CENÁRIOS</t>
  </si>
  <si>
    <t xml:space="preserve">Dividendo</t>
  </si>
  <si>
    <r>
      <rPr>
        <sz val="12"/>
        <color rgb="FF000000"/>
        <rFont val="Segoe UI"/>
        <family val="2"/>
        <charset val="1"/>
      </rPr>
      <t xml:space="preserve">Quanto em </t>
    </r>
    <r>
      <rPr>
        <sz val="12"/>
        <color rgb="FFFF0000"/>
        <rFont val="Segoe UI"/>
        <family val="2"/>
        <charset val="1"/>
      </rPr>
      <t xml:space="preserve">2</t>
    </r>
    <r>
      <rPr>
        <sz val="12"/>
        <color rgb="FF000000"/>
        <rFont val="Segoe UI"/>
        <family val="2"/>
        <charset val="1"/>
      </rPr>
      <t xml:space="preserve"> Anos ?</t>
    </r>
  </si>
  <si>
    <r>
      <rPr>
        <sz val="12"/>
        <color rgb="FF000000"/>
        <rFont val="Segoe UI"/>
        <family val="2"/>
        <charset val="1"/>
      </rPr>
      <t xml:space="preserve">Quanto em </t>
    </r>
    <r>
      <rPr>
        <sz val="12"/>
        <color rgb="FFB85C00"/>
        <rFont val="Segoe UI"/>
        <family val="2"/>
        <charset val="1"/>
      </rPr>
      <t xml:space="preserve">5</t>
    </r>
    <r>
      <rPr>
        <sz val="12"/>
        <color rgb="FF000000"/>
        <rFont val="Segoe UI"/>
        <family val="2"/>
        <charset val="1"/>
      </rPr>
      <t xml:space="preserve"> Anos ?</t>
    </r>
  </si>
  <si>
    <r>
      <rPr>
        <sz val="12"/>
        <color rgb="FF000000"/>
        <rFont val="Segoe UI"/>
        <family val="2"/>
        <charset val="1"/>
      </rPr>
      <t xml:space="preserve">Quanto em </t>
    </r>
    <r>
      <rPr>
        <sz val="12"/>
        <color rgb="FFFF8000"/>
        <rFont val="Segoe UI"/>
        <family val="2"/>
        <charset val="1"/>
      </rPr>
      <t xml:space="preserve">10</t>
    </r>
    <r>
      <rPr>
        <sz val="12"/>
        <color rgb="FF000000"/>
        <rFont val="Segoe UI"/>
        <family val="2"/>
        <charset val="1"/>
      </rPr>
      <t xml:space="preserve"> Anos ?</t>
    </r>
  </si>
  <si>
    <r>
      <rPr>
        <sz val="12"/>
        <color rgb="FF000000"/>
        <rFont val="Segoe UI"/>
        <family val="2"/>
        <charset val="1"/>
      </rPr>
      <t xml:space="preserve">Quanto em </t>
    </r>
    <r>
      <rPr>
        <sz val="12"/>
        <color rgb="FF127622"/>
        <rFont val="Segoe UI"/>
        <family val="2"/>
        <charset val="1"/>
      </rPr>
      <t xml:space="preserve">20</t>
    </r>
    <r>
      <rPr>
        <sz val="12"/>
        <color rgb="FF000000"/>
        <rFont val="Segoe UI"/>
        <family val="2"/>
        <charset val="1"/>
      </rPr>
      <t xml:space="preserve"> Anos ?</t>
    </r>
  </si>
  <si>
    <r>
      <rPr>
        <sz val="12"/>
        <color rgb="FF000000"/>
        <rFont val="Segoe UI"/>
        <family val="2"/>
        <charset val="1"/>
      </rPr>
      <t xml:space="preserve">Quanto em </t>
    </r>
    <r>
      <rPr>
        <sz val="12"/>
        <color rgb="FF355269"/>
        <rFont val="Segoe UI"/>
        <family val="2"/>
        <charset val="1"/>
      </rPr>
      <t xml:space="preserve">30</t>
    </r>
    <r>
      <rPr>
        <sz val="12"/>
        <color rgb="FF000000"/>
        <rFont val="Segoe UI"/>
        <family val="2"/>
        <charset val="1"/>
      </rPr>
      <t xml:space="preserve"> Anos ?</t>
    </r>
  </si>
  <si>
    <t xml:space="preserve">PERFIL</t>
  </si>
  <si>
    <t xml:space="preserve">Moderado</t>
  </si>
  <si>
    <t xml:space="preserve">VALOR A SER INVESTIDO POR MÊS</t>
  </si>
  <si>
    <t xml:space="preserve">TIPO DE FII</t>
  </si>
  <si>
    <t xml:space="preserve">Percentual Sugerido</t>
  </si>
  <si>
    <t xml:space="preserve">Valores</t>
  </si>
  <si>
    <t xml:space="preserve">PAPEL</t>
  </si>
  <si>
    <t xml:space="preserve">TIJOLO</t>
  </si>
  <si>
    <t xml:space="preserve">HÍBRIDOS</t>
  </si>
  <si>
    <t xml:space="preserve">FOFs</t>
  </si>
  <si>
    <t xml:space="preserve">DESENVOLVIMENTO</t>
  </si>
  <si>
    <t xml:space="preserve">HOTELARIAS</t>
  </si>
  <si>
    <t xml:space="preserve">CHAVE</t>
  </si>
  <si>
    <t xml:space="preserve">%</t>
  </si>
  <si>
    <t xml:space="preserve">Conservador</t>
  </si>
  <si>
    <t xml:space="preserve">Moderado-TIJOLO</t>
  </si>
  <si>
    <t xml:space="preserve">Agressivo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</si>
</sst>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&quot;R$ &quot;* #,##0.00_-;&quot;-R$ &quot;* #,##0.00_-;_-&quot;R$ &quot;* \-??_-;_-@_-"/>
    <numFmt numFmtId="166" formatCode="&quot;R$ &quot;#,##0.00"/>
    <numFmt numFmtId="167" formatCode="0.00%"/>
    <numFmt numFmtId="168" formatCode="&quot;R$ &quot;#,##0.00;[RED]&quot;-R$ &quot;#,##0.00"/>
    <numFmt numFmtId="169" formatCode="0%"/>
    <numFmt numFmtId="170" formatCode="General"/>
  </numFmts>
  <fonts count="2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Segoe UI Semibold"/>
      <family val="2"/>
      <charset val="1"/>
    </font>
    <font>
      <sz val="11"/>
      <color rgb="FF000000"/>
      <name val="Segoe UI Semibold"/>
      <family val="2"/>
      <charset val="1"/>
    </font>
    <font>
      <sz val="12"/>
      <color rgb="FF000000"/>
      <name val="Segoe UI"/>
      <family val="2"/>
      <charset val="1"/>
    </font>
    <font>
      <sz val="11"/>
      <color rgb="FF000000"/>
      <name val="Segoe UI"/>
      <family val="2"/>
      <charset val="1"/>
    </font>
    <font>
      <b val="true"/>
      <sz val="20"/>
      <color rgb="FFFFFFFF"/>
      <name val="Segoe UI Semibold"/>
      <family val="2"/>
      <charset val="1"/>
    </font>
    <font>
      <b val="true"/>
      <sz val="11"/>
      <color rgb="FF000000"/>
      <name val="Segoe UI"/>
      <family val="2"/>
      <charset val="1"/>
    </font>
    <font>
      <b val="true"/>
      <sz val="12"/>
      <color rgb="FF000000"/>
      <name val="Segoe UI"/>
      <family val="2"/>
      <charset val="1"/>
    </font>
    <font>
      <b val="true"/>
      <sz val="12"/>
      <color rgb="FFFFFFFF"/>
      <name val="Segoe UI Semibold"/>
      <family val="2"/>
      <charset val="1"/>
    </font>
    <font>
      <sz val="11"/>
      <color rgb="FFFFFFFF"/>
      <name val="Aptos Narrow"/>
      <family val="2"/>
      <charset val="1"/>
    </font>
    <font>
      <sz val="12"/>
      <color rgb="FFFF0000"/>
      <name val="Segoe UI"/>
      <family val="2"/>
      <charset val="1"/>
    </font>
    <font>
      <sz val="12"/>
      <color rgb="FFB85C00"/>
      <name val="Segoe UI"/>
      <family val="2"/>
      <charset val="1"/>
    </font>
    <font>
      <sz val="12"/>
      <color rgb="FFFF8000"/>
      <name val="Segoe UI"/>
      <family val="2"/>
      <charset val="1"/>
    </font>
    <font>
      <sz val="12"/>
      <color rgb="FF127622"/>
      <name val="Segoe UI"/>
      <family val="2"/>
      <charset val="1"/>
    </font>
    <font>
      <sz val="12"/>
      <color rgb="FF355269"/>
      <name val="Segoe UI"/>
      <family val="2"/>
      <charset val="1"/>
    </font>
    <font>
      <sz val="11"/>
      <color rgb="FF19003A"/>
      <name val="Aptos Narrow"/>
      <family val="2"/>
      <charset val="1"/>
    </font>
    <font>
      <sz val="11"/>
      <color rgb="FF9C57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9"/>
      <color rgb="FF595959"/>
      <name val="Aptos Narrow"/>
      <family val="2"/>
    </font>
    <font>
      <sz val="9"/>
      <color rgb="FF808080"/>
      <name val="Aptos Narrow"/>
      <family val="2"/>
    </font>
    <font>
      <b val="true"/>
      <sz val="26"/>
      <color rgb="FF000000"/>
      <name val="Tahoma"/>
      <family val="2"/>
      <charset val="1"/>
    </font>
    <font>
      <sz val="11"/>
      <color rgb="FFFF0000"/>
      <name val="Aptos Narrow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EB9C"/>
        <bgColor rgb="FFD4EA6B"/>
      </patternFill>
    </fill>
    <fill>
      <patternFill patternType="solid">
        <fgColor rgb="FF6B5E9B"/>
        <bgColor rgb="FF595959"/>
      </patternFill>
    </fill>
    <fill>
      <patternFill patternType="solid">
        <fgColor rgb="FFF2F2F2"/>
        <bgColor rgb="FFFFFFFF"/>
      </patternFill>
    </fill>
    <fill>
      <patternFill patternType="solid">
        <fgColor rgb="FFEA7500"/>
        <bgColor rgb="FFFF8000"/>
      </patternFill>
    </fill>
    <fill>
      <patternFill patternType="solid">
        <fgColor rgb="FFD9D9D9"/>
        <bgColor rgb="FFDEDCE6"/>
      </patternFill>
    </fill>
    <fill>
      <patternFill patternType="solid">
        <fgColor rgb="FFBE480A"/>
        <bgColor rgb="FFB85C00"/>
      </patternFill>
    </fill>
    <fill>
      <patternFill patternType="solid">
        <fgColor rgb="FF8D281E"/>
        <bgColor rgb="FFBE480A"/>
      </patternFill>
    </fill>
    <fill>
      <patternFill patternType="solid">
        <fgColor rgb="FF5EB91E"/>
        <bgColor rgb="FF4EA72E"/>
      </patternFill>
    </fill>
    <fill>
      <patternFill patternType="solid">
        <fgColor rgb="FFE8A202"/>
        <bgColor rgb="FFFF8000"/>
      </patternFill>
    </fill>
    <fill>
      <patternFill patternType="solid">
        <fgColor rgb="FF729FCF"/>
        <bgColor rgb="FF90A2B3"/>
      </patternFill>
    </fill>
    <fill>
      <patternFill patternType="solid">
        <fgColor rgb="FFDEDCE6"/>
        <bgColor rgb="FFD9D9D9"/>
      </patternFill>
    </fill>
    <fill>
      <patternFill patternType="solid">
        <fgColor rgb="FFBF819E"/>
        <bgColor rgb="FFC593BD"/>
      </patternFill>
    </fill>
    <fill>
      <patternFill patternType="solid">
        <fgColor rgb="FF55215B"/>
        <bgColor rgb="FF660066"/>
      </patternFill>
    </fill>
    <fill>
      <patternFill patternType="solid">
        <fgColor rgb="FFD4EA6B"/>
        <bgColor rgb="FFFFEB9C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>
        <color rgb="FFA6A6A6"/>
      </right>
      <top/>
      <bottom style="hair">
        <color rgb="FFA6A6A6"/>
      </bottom>
      <diagonal/>
    </border>
    <border diagonalUp="false" diagonalDown="false">
      <left style="hair">
        <color rgb="FFA6A6A6"/>
      </left>
      <right style="hair"/>
      <top/>
      <bottom style="hair">
        <color rgb="FFA6A6A6"/>
      </bottom>
      <diagonal/>
    </border>
    <border diagonalUp="false" diagonalDown="false">
      <left style="hair"/>
      <right style="hair">
        <color rgb="FFA6A6A6"/>
      </right>
      <top style="hair">
        <color rgb="FFA6A6A6"/>
      </top>
      <bottom style="hair">
        <color rgb="FFA6A6A6"/>
      </bottom>
      <diagonal/>
    </border>
    <border diagonalUp="false" diagonalDown="false">
      <left style="hair">
        <color rgb="FFA6A6A6"/>
      </left>
      <right style="hair"/>
      <top style="hair">
        <color rgb="FFA6A6A6"/>
      </top>
      <bottom style="hair">
        <color rgb="FFA6A6A6"/>
      </bottom>
      <diagonal/>
    </border>
    <border diagonalUp="false" diagonalDown="false">
      <left style="hair"/>
      <right style="hair">
        <color rgb="FFA6A6A6"/>
      </right>
      <top style="hair">
        <color rgb="FFA6A6A6"/>
      </top>
      <bottom style="hair"/>
      <diagonal/>
    </border>
    <border diagonalUp="false" diagonalDown="false">
      <left style="hair">
        <color rgb="FFA6A6A6"/>
      </left>
      <right style="hair"/>
      <top style="hair">
        <color rgb="FFA6A6A6"/>
      </top>
      <bottom style="hair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>
        <color rgb="FFA6A6A6"/>
      </right>
      <top/>
      <bottom style="thin">
        <color rgb="FFA6A6A6"/>
      </bottom>
      <diagonal/>
    </border>
    <border diagonalUp="false" diagonalDown="false">
      <left style="thin">
        <color rgb="FFA6A6A6"/>
      </left>
      <right style="medium"/>
      <top/>
      <bottom style="thin">
        <color rgb="FFA6A6A6"/>
      </bottom>
      <diagonal/>
    </border>
    <border diagonalUp="false" diagonalDown="false">
      <left style="medium"/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medium"/>
      <top style="thin">
        <color rgb="FFA6A6A6"/>
      </top>
      <bottom style="thin">
        <color rgb="FFA6A6A6"/>
      </bottom>
      <diagonal/>
    </border>
    <border diagonalUp="false" diagonalDown="false">
      <left style="medium"/>
      <right style="thin">
        <color rgb="FFA6A6A6"/>
      </right>
      <top style="thin">
        <color rgb="FFA6A6A6"/>
      </top>
      <bottom style="medium"/>
      <diagonal/>
    </border>
    <border diagonalUp="false" diagonalDown="false">
      <left style="thin">
        <color rgb="FFA6A6A6"/>
      </left>
      <right style="medium"/>
      <top style="thin">
        <color rgb="FFA6A6A6"/>
      </top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hair">
        <color rgb="FFD9D9D9"/>
      </right>
      <top/>
      <bottom style="hair">
        <color rgb="FFD9D9D9"/>
      </bottom>
      <diagonal/>
    </border>
    <border diagonalUp="false" diagonalDown="false">
      <left style="hair">
        <color rgb="FFD9D9D9"/>
      </left>
      <right style="hair">
        <color rgb="FFD9D9D9"/>
      </right>
      <top/>
      <bottom style="hair">
        <color rgb="FFD9D9D9"/>
      </bottom>
      <diagonal/>
    </border>
    <border diagonalUp="false" diagonalDown="false">
      <left style="hair">
        <color rgb="FFD9D9D9"/>
      </left>
      <right style="medium"/>
      <top/>
      <bottom style="hair">
        <color rgb="FFD9D9D9"/>
      </bottom>
      <diagonal/>
    </border>
    <border diagonalUp="false" diagonalDown="false">
      <left style="medium"/>
      <right style="hair">
        <color rgb="FFD9D9D9"/>
      </right>
      <top style="hair">
        <color rgb="FFD9D9D9"/>
      </top>
      <bottom style="hair">
        <color rgb="FFD9D9D9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 diagonalUp="false" diagonalDown="false">
      <left style="hair">
        <color rgb="FFD9D9D9"/>
      </left>
      <right style="medium"/>
      <top style="hair">
        <color rgb="FFD9D9D9"/>
      </top>
      <bottom style="hair">
        <color rgb="FFD9D9D9"/>
      </bottom>
      <diagonal/>
    </border>
    <border diagonalUp="false" diagonalDown="false">
      <left style="medium"/>
      <right style="hair">
        <color rgb="FFD9D9D9"/>
      </right>
      <top style="hair">
        <color rgb="FFD9D9D9"/>
      </top>
      <bottom style="medium"/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D9D9D9"/>
      </top>
      <bottom style="medium"/>
      <diagonal/>
    </border>
    <border diagonalUp="false" diagonalDown="false">
      <left style="hair">
        <color rgb="FFD9D9D9"/>
      </left>
      <right style="medium"/>
      <top style="hair">
        <color rgb="FFD9D9D9"/>
      </top>
      <bottom style="medium"/>
      <diagonal/>
    </border>
    <border diagonalUp="false" diagonalDown="false">
      <left/>
      <right/>
      <top/>
      <bottom style="dashed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2" borderId="0" applyFont="true" applyBorder="false" applyAlignment="true" applyProtection="false">
      <alignment horizontal="general" vertical="bottom" textRotation="0" wrapText="false" indent="0" shrinkToFit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6" fontId="7" fillId="0" borderId="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7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6" fontId="7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1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6" fontId="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3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3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8" fontId="9" fillId="6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5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8" fontId="9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9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6" fontId="7" fillId="6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22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6" fontId="7" fillId="6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25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6" fontId="7" fillId="6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9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4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1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5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4" fillId="15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</cellStyles>
  <colors>
    <indexedColors>
      <rgbColor rgb="FF000000"/>
      <rgbColor rgb="FFFFFFFF"/>
      <rgbColor rgb="FFFF0000"/>
      <rgbColor rgb="FF4EA72E"/>
      <rgbColor rgb="FF0000FF"/>
      <rgbColor rgb="FF9EB39F"/>
      <rgbColor rgb="FFC593BD"/>
      <rgbColor rgb="FF9DAFBF"/>
      <rgbColor rgb="FFBE480A"/>
      <rgbColor rgb="FF127622"/>
      <rgbColor rgb="FF19003A"/>
      <rgbColor rgb="FF9C5700"/>
      <rgbColor rgb="FFE36E30"/>
      <rgbColor rgb="FF156082"/>
      <rgbColor rgb="FFA7D4A0"/>
      <rgbColor rgb="FF808080"/>
      <rgbColor rgb="FF729FCF"/>
      <rgbColor rgb="FF9C2A8F"/>
      <rgbColor rgb="FFF2F2F2"/>
      <rgbColor rgb="FFDEDCE6"/>
      <rgbColor rgb="FF660066"/>
      <rgbColor rgb="FFE97132"/>
      <rgbColor rgb="FF145D7F"/>
      <rgbColor rgb="FFD9D9D9"/>
      <rgbColor rgb="FF000080"/>
      <rgbColor rgb="FFFF00FF"/>
      <rgbColor rgb="FFA6A6A6"/>
      <rgbColor rgb="FF00FFFF"/>
      <rgbColor rgb="FFBF819E"/>
      <rgbColor rgb="FFB85C00"/>
      <rgbColor rgb="FF0E9AD0"/>
      <rgbColor rgb="FF0000FF"/>
      <rgbColor rgb="FF0F9ED5"/>
      <rgbColor rgb="FF9BCA93"/>
      <rgbColor rgb="FFD4EA6B"/>
      <rgbColor rgb="FFFFEB9C"/>
      <rgbColor rgb="FF9DCEF5"/>
      <rgbColor rgb="FFF2AB96"/>
      <rgbColor rgb="FFD09FC8"/>
      <rgbColor rgb="FFF5B7A4"/>
      <rgbColor rgb="FF91A892"/>
      <rgbColor rgb="FF90C3EA"/>
      <rgbColor rgb="FF5EB91E"/>
      <rgbColor rgb="FFFF8000"/>
      <rgbColor rgb="FFE8A202"/>
      <rgbColor rgb="FFEA7500"/>
      <rgbColor rgb="FF6B5E9B"/>
      <rgbColor rgb="FF90A2B3"/>
      <rgbColor rgb="FF196B24"/>
      <rgbColor rgb="FF4CA32C"/>
      <rgbColor rgb="FF186823"/>
      <rgbColor rgb="FF595959"/>
      <rgbColor rgb="FF8D281E"/>
      <rgbColor rgb="FFA02B93"/>
      <rgbColor rgb="FF355269"/>
      <rgbColor rgb="FF5521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334807715935619"/>
          <c:y val="0"/>
          <c:w val="0.34365401154933"/>
          <c:h val="0.783692911179602"/>
        </c:manualLayout>
      </c:layout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spPr>
            <a:solidFill>
              <a:srgbClr val="355269"/>
            </a:solidFill>
            <a:ln>
              <a:noFill/>
            </a:ln>
          </c:spPr>
          <c:explosion val="0"/>
          <c:dPt>
            <c:idx val="0"/>
            <c:spPr>
              <a:gradFill>
                <a:gsLst>
                  <a:gs pos="0">
                    <a:srgbClr val="9dafbf"/>
                  </a:gs>
                  <a:gs pos="100000">
                    <a:srgbClr val="90a2b3"/>
                  </a:gs>
                </a:gsLst>
                <a:lin ang="5400000"/>
              </a:gradFill>
              <a:ln w="9360">
                <a:solidFill>
                  <a:srgbClr val="145d7f"/>
                </a:solidFill>
                <a:round/>
              </a:ln>
            </c:spPr>
          </c:dPt>
          <c:dPt>
            <c:idx val="1"/>
            <c:spPr>
              <a:gradFill>
                <a:gsLst>
                  <a:gs pos="0">
                    <a:srgbClr val="f5b7a4"/>
                  </a:gs>
                  <a:gs pos="100000">
                    <a:srgbClr val="f2ab96"/>
                  </a:gs>
                </a:gsLst>
                <a:lin ang="5400000"/>
              </a:gradFill>
              <a:ln w="9360">
                <a:solidFill>
                  <a:srgbClr val="e36e30"/>
                </a:solidFill>
                <a:round/>
              </a:ln>
            </c:spPr>
          </c:dPt>
          <c:dPt>
            <c:idx val="2"/>
            <c:spPr>
              <a:gradFill>
                <a:gsLst>
                  <a:gs pos="0">
                    <a:srgbClr val="9eb39f"/>
                  </a:gs>
                  <a:gs pos="100000">
                    <a:srgbClr val="91a892"/>
                  </a:gs>
                </a:gsLst>
                <a:lin ang="5400000"/>
              </a:gradFill>
              <a:ln w="9360">
                <a:solidFill>
                  <a:srgbClr val="186823"/>
                </a:solidFill>
                <a:round/>
              </a:ln>
            </c:spPr>
          </c:dPt>
          <c:dPt>
            <c:idx val="3"/>
            <c:spPr>
              <a:gradFill>
                <a:gsLst>
                  <a:gs pos="0">
                    <a:srgbClr val="9dcef5"/>
                  </a:gs>
                  <a:gs pos="100000">
                    <a:srgbClr val="90c3ea"/>
                  </a:gs>
                </a:gsLst>
                <a:lin ang="5400000"/>
              </a:gradFill>
              <a:ln w="9360">
                <a:solidFill>
                  <a:srgbClr val="0e9ad0"/>
                </a:solidFill>
                <a:round/>
              </a:ln>
            </c:spPr>
          </c:dPt>
          <c:dPt>
            <c:idx val="4"/>
            <c:spPr>
              <a:gradFill>
                <a:gsLst>
                  <a:gs pos="0">
                    <a:srgbClr val="d09fc8"/>
                  </a:gs>
                  <a:gs pos="100000">
                    <a:srgbClr val="c593bd"/>
                  </a:gs>
                </a:gsLst>
                <a:lin ang="5400000"/>
              </a:gradFill>
              <a:ln w="9360">
                <a:solidFill>
                  <a:srgbClr val="9c2a8f"/>
                </a:solidFill>
                <a:round/>
              </a:ln>
            </c:spPr>
          </c:dPt>
          <c:dPt>
            <c:idx val="5"/>
            <c:spPr>
              <a:gradFill>
                <a:gsLst>
                  <a:gs pos="0">
                    <a:srgbClr val="a7d4a0"/>
                  </a:gs>
                  <a:gs pos="100000">
                    <a:srgbClr val="9bca93"/>
                  </a:gs>
                </a:gsLst>
                <a:lin ang="5400000"/>
              </a:gradFill>
              <a:ln w="9360">
                <a:solidFill>
                  <a:srgbClr val="4ca32c"/>
                </a:solidFill>
                <a:round/>
              </a:ln>
            </c:spPr>
          </c:dPt>
          <c:dLbls>
            <c:numFmt formatCode="0%" sourceLinked="1"/>
            <c:dLbl>
              <c:idx val="0"/>
              <c:txPr>
                <a:bodyPr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/>
              <a:lstStyle/>
              <a:p>
                <a:pPr>
                  <a:defRPr b="0" sz="900" spc="-1" strike="noStrike">
                    <a:solidFill>
                      <a:srgbClr val="595959"/>
                    </a:solidFill>
                    <a:latin typeface="Aptos Narrow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General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firstSliceAng val="0"/>
      </c:pieChart>
      <c:spPr>
        <a:noFill/>
        <a:ln>
          <a:noFill/>
        </a:ln>
      </c:spPr>
    </c:plotArea>
    <c:legend>
      <c:layout>
        <c:manualLayout>
          <c:xMode val="edge"/>
          <c:yMode val="edge"/>
          <c:x val="0.0961420321906868"/>
          <c:y val="0.83883914788515"/>
          <c:w val="0.784371544415776"/>
          <c:h val="0.160697746217969"/>
        </c:manualLayout>
      </c:layout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80808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22320</xdr:colOff>
      <xdr:row>44</xdr:row>
      <xdr:rowOff>32400</xdr:rowOff>
    </xdr:from>
    <xdr:to>
      <xdr:col>3</xdr:col>
      <xdr:colOff>945360</xdr:colOff>
      <xdr:row>58</xdr:row>
      <xdr:rowOff>23400</xdr:rowOff>
    </xdr:to>
    <xdr:graphicFrame>
      <xdr:nvGraphicFramePr>
        <xdr:cNvPr id="0" name="Gráfico 5"/>
        <xdr:cNvGraphicFramePr/>
      </xdr:nvGraphicFramePr>
      <xdr:xfrm>
        <a:off x="367560" y="8505000"/>
        <a:ext cx="5860080" cy="244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322200</xdr:colOff>
      <xdr:row>1</xdr:row>
      <xdr:rowOff>720</xdr:rowOff>
    </xdr:from>
    <xdr:to>
      <xdr:col>5</xdr:col>
      <xdr:colOff>2520</xdr:colOff>
      <xdr:row>9</xdr:row>
      <xdr:rowOff>47880</xdr:rowOff>
    </xdr:to>
    <xdr:sp>
      <xdr:nvSpPr>
        <xdr:cNvPr id="1" name="CustomShape 1"/>
        <xdr:cNvSpPr/>
      </xdr:nvSpPr>
      <xdr:spPr>
        <a:xfrm>
          <a:off x="322200" y="175680"/>
          <a:ext cx="6138000" cy="1449360"/>
        </a:xfrm>
        <a:prstGeom prst="horizontalScroll">
          <a:avLst>
            <a:gd name="adj" fmla="val 12500"/>
          </a:avLst>
        </a:prstGeom>
        <a:solidFill>
          <a:srgbClr val="729fcf"/>
        </a:solidFill>
        <a:ln w="36000">
          <a:solidFill>
            <a:srgbClr val="3465a4"/>
          </a:solidFill>
          <a:custDash>
            <a:ds d="0" sp="152000"/>
            <a:ds d="0" sp="152000"/>
            <a:ds d="0" sp="152000"/>
            <a:ds d="0" sp="152000"/>
            <a:ds d="0" sp="152000"/>
            <a:ds d="0" sp="152000"/>
            <a:ds d="0" sp="152000"/>
            <a:ds d="0" sp="152000"/>
            <a:ds d="0" sp="152000"/>
            <a:ds d="0" sp="152000"/>
            <a:ds d="2007000" sp="152000"/>
          </a:custDash>
          <a:round/>
        </a:ln>
      </xdr:spPr>
      <xdr:style>
        <a:lnRef idx="0"/>
        <a:fillRef idx="0"/>
        <a:effectRef idx="0"/>
        <a:fontRef idx="minor"/>
      </xdr:style>
      <xdr:txBody>
        <a:bodyPr wrap="none" lIns="18000" rIns="18000" tIns="18000" bIns="18000" anchor="ctr">
          <a:noAutofit/>
        </a:bodyPr>
        <a:p>
          <a:pPr algn="ctr"/>
          <a:r>
            <a:rPr b="1" lang="pt-BR" sz="2600" spc="-1" strike="noStrike">
              <a:solidFill>
                <a:srgbClr val="000000"/>
              </a:solidFill>
              <a:latin typeface="Tahoma"/>
            </a:rPr>
            <a:t>Simulador de Fundos Imobiliários</a:t>
          </a:r>
          <a:endParaRPr b="1" lang="pt-BR" sz="2600" spc="-1" strike="noStrike">
            <a:solidFill>
              <a:srgbClr val="000000"/>
            </a:solidFill>
            <a:latin typeface="Tahoma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1:H60"/>
  <sheetViews>
    <sheetView showFormulas="false" showGridLines="false" showRowColHeaders="true" showZeros="true" rightToLeft="false" tabSelected="false" showOutlineSymbols="true" defaultGridColor="true" view="normal" topLeftCell="A7" colorId="64" zoomScale="110" zoomScaleNormal="110" zoomScalePageLayoutView="100" workbookViewId="0">
      <selection pane="topLeft" activeCell="AMJ59" activeCellId="0" sqref="AMJ59"/>
    </sheetView>
  </sheetViews>
  <sheetFormatPr defaultRowHeight="13.8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9.5"/>
    <col collapsed="false" customWidth="true" hidden="false" outlineLevel="0" max="3" min="3" style="0" width="18.42"/>
    <col collapsed="false" customWidth="true" hidden="false" outlineLevel="0" max="4" min="4" style="0" width="15.01"/>
    <col collapsed="false" customWidth="true" hidden="false" outlineLevel="0" max="6" min="5" style="0" width="3.55"/>
    <col collapsed="false" customWidth="true" hidden="true" outlineLevel="0" max="8" min="7" style="0" width="3.55"/>
    <col collapsed="false" customWidth="true" hidden="true" outlineLevel="0" max="1025" min="9" style="0" width="8.73"/>
  </cols>
  <sheetData>
    <row r="11" customFormat="false" ht="22.05" hidden="false" customHeight="false" outlineLevel="0" collapsed="false">
      <c r="B11" s="1" t="s">
        <v>0</v>
      </c>
      <c r="C11" s="2"/>
      <c r="D11" s="3"/>
    </row>
    <row r="12" customFormat="false" ht="15" hidden="false" customHeight="false" outlineLevel="0" collapsed="false">
      <c r="B12" s="4" t="s">
        <v>1</v>
      </c>
      <c r="C12" s="4"/>
      <c r="D12" s="5" t="n">
        <v>2000</v>
      </c>
    </row>
    <row r="13" customFormat="false" ht="15" hidden="false" customHeight="false" outlineLevel="0" collapsed="false">
      <c r="B13" s="6" t="s">
        <v>2</v>
      </c>
      <c r="C13" s="6"/>
      <c r="D13" s="7" t="n">
        <v>0.006</v>
      </c>
    </row>
    <row r="14" customFormat="false" ht="15" hidden="false" customHeight="false" outlineLevel="0" collapsed="false">
      <c r="B14" s="8" t="s">
        <v>3</v>
      </c>
      <c r="C14" s="8"/>
      <c r="D14" s="9" t="n">
        <f aca="false">D12*30%</f>
        <v>600</v>
      </c>
    </row>
    <row r="16" customFormat="false" ht="28.5" hidden="false" customHeight="true" outlineLevel="0" collapsed="false">
      <c r="B16" s="10" t="s">
        <v>4</v>
      </c>
      <c r="C16" s="10"/>
      <c r="D16" s="10"/>
    </row>
    <row r="17" customFormat="false" ht="15" hidden="false" customHeight="false" outlineLevel="0" collapsed="false">
      <c r="B17" s="11" t="s">
        <v>5</v>
      </c>
      <c r="C17" s="11"/>
      <c r="D17" s="12" t="n">
        <v>200</v>
      </c>
    </row>
    <row r="18" customFormat="false" ht="15" hidden="false" customHeight="false" outlineLevel="0" collapsed="false">
      <c r="B18" s="13" t="s">
        <v>6</v>
      </c>
      <c r="C18" s="13"/>
      <c r="D18" s="14" t="n">
        <v>5</v>
      </c>
    </row>
    <row r="19" customFormat="false" ht="15" hidden="false" customHeight="false" outlineLevel="0" collapsed="false">
      <c r="B19" s="13" t="s">
        <v>7</v>
      </c>
      <c r="C19" s="13"/>
      <c r="D19" s="15" t="n">
        <v>0.01079</v>
      </c>
    </row>
    <row r="20" customFormat="false" ht="15" hidden="false" customHeight="false" outlineLevel="0" collapsed="false">
      <c r="B20" s="16" t="s">
        <v>8</v>
      </c>
      <c r="C20" s="16"/>
      <c r="D20" s="17" t="n">
        <f aca="false">FV(taxa_mensal,qtd_anos*12,aporte*-1)</f>
        <v>16755.3827996975</v>
      </c>
    </row>
    <row r="21" customFormat="false" ht="15" hidden="false" customHeight="false" outlineLevel="0" collapsed="false">
      <c r="B21" s="18" t="s">
        <v>9</v>
      </c>
      <c r="C21" s="18"/>
      <c r="D21" s="19" t="n">
        <f aca="false">patrimonio*rendimento_carteira</f>
        <v>100.532296798185</v>
      </c>
      <c r="F21" s="20"/>
    </row>
    <row r="23" customFormat="false" ht="24.45" hidden="false" customHeight="false" outlineLevel="0" collapsed="false">
      <c r="B23" s="21" t="s">
        <v>10</v>
      </c>
      <c r="C23" s="21"/>
      <c r="D23" s="22" t="s">
        <v>11</v>
      </c>
    </row>
    <row r="24" customFormat="false" ht="17.15" hidden="false" customHeight="false" outlineLevel="0" collapsed="false">
      <c r="A24" s="23" t="n">
        <v>2</v>
      </c>
      <c r="B24" s="24" t="s">
        <v>12</v>
      </c>
      <c r="C24" s="25" t="n">
        <f aca="false">FV($D$19,$A24*12,$D$17*-1)</f>
        <v>5445.52545952904</v>
      </c>
      <c r="D24" s="26" t="n">
        <f aca="false">C24*rendimento_carteira</f>
        <v>32.6731527571743</v>
      </c>
    </row>
    <row r="25" customFormat="false" ht="17.15" hidden="false" customHeight="false" outlineLevel="0" collapsed="false">
      <c r="A25" s="23" t="n">
        <v>5</v>
      </c>
      <c r="B25" s="27" t="s">
        <v>13</v>
      </c>
      <c r="C25" s="28" t="n">
        <f aca="false">FV($D$19,$A25*12,$D$17*-1)</f>
        <v>16755.3827996975</v>
      </c>
      <c r="D25" s="29" t="n">
        <f aca="false">C25*rendimento_carteira</f>
        <v>100.532296798185</v>
      </c>
    </row>
    <row r="26" customFormat="false" ht="17.15" hidden="false" customHeight="false" outlineLevel="0" collapsed="false">
      <c r="A26" s="23" t="n">
        <v>10</v>
      </c>
      <c r="B26" s="27" t="s">
        <v>14</v>
      </c>
      <c r="C26" s="28" t="n">
        <f aca="false">FV($D$19,$A26*12,$D$17*-1)</f>
        <v>48656.8425060344</v>
      </c>
      <c r="D26" s="29" t="n">
        <f aca="false">C26*rendimento_carteira</f>
        <v>291.941055036207</v>
      </c>
    </row>
    <row r="27" customFormat="false" ht="17.15" hidden="false" customHeight="false" outlineLevel="0" collapsed="false">
      <c r="A27" s="23" t="n">
        <v>20</v>
      </c>
      <c r="B27" s="27" t="s">
        <v>15</v>
      </c>
      <c r="C27" s="28" t="n">
        <f aca="false">FV($D$19,$A27*12,$D$17*-1)</f>
        <v>225039.680019416</v>
      </c>
      <c r="D27" s="29" t="n">
        <f aca="false">C27*rendimento_carteira</f>
        <v>1350.2380801165</v>
      </c>
    </row>
    <row r="28" customFormat="false" ht="17.15" hidden="false" customHeight="false" outlineLevel="0" collapsed="false">
      <c r="A28" s="23" t="n">
        <v>30</v>
      </c>
      <c r="B28" s="30" t="s">
        <v>16</v>
      </c>
      <c r="C28" s="31" t="n">
        <f aca="false">FV($D$19,$A28*12,$D$17*-1)</f>
        <v>864433.931000943</v>
      </c>
      <c r="D28" s="32" t="n">
        <f aca="false">C28*rendimento_carteira</f>
        <v>5186.60358600566</v>
      </c>
    </row>
    <row r="32" customFormat="false" ht="13.8" hidden="false" customHeight="false" outlineLevel="0" collapsed="false">
      <c r="B32" s="33" t="s">
        <v>17</v>
      </c>
      <c r="C32" s="34" t="s">
        <v>18</v>
      </c>
      <c r="D32" s="35"/>
    </row>
    <row r="33" customFormat="false" ht="13.8" hidden="false" customHeight="false" outlineLevel="0" collapsed="false">
      <c r="B33" s="36" t="s">
        <v>19</v>
      </c>
      <c r="C33" s="37" t="n">
        <f aca="false">aporte</f>
        <v>200</v>
      </c>
      <c r="D33" s="36"/>
    </row>
    <row r="35" customFormat="false" ht="13.8" hidden="false" customHeight="false" outlineLevel="0" collapsed="false">
      <c r="B35" s="38" t="s">
        <v>20</v>
      </c>
      <c r="C35" s="38" t="s">
        <v>21</v>
      </c>
      <c r="D35" s="38" t="s">
        <v>22</v>
      </c>
    </row>
    <row r="36" customFormat="false" ht="13.8" hidden="false" customHeight="false" outlineLevel="0" collapsed="false">
      <c r="B36" s="39" t="s">
        <v>23</v>
      </c>
      <c r="C36" s="40" t="n">
        <f aca="false">VLOOKUP($C$32&amp;"-"&amp;B36,Planilha2!$A:$D,4,0)</f>
        <v>0.32</v>
      </c>
      <c r="D36" s="41" t="n">
        <f aca="false">C36*$C$33</f>
        <v>64</v>
      </c>
    </row>
    <row r="37" customFormat="false" ht="13.8" hidden="false" customHeight="false" outlineLevel="0" collapsed="false">
      <c r="B37" s="39" t="s">
        <v>24</v>
      </c>
      <c r="C37" s="40" t="n">
        <f aca="false">VLOOKUP($C$32&amp;"-"&amp;B37,Planilha2!$A:$D,4,0)</f>
        <v>0.35</v>
      </c>
      <c r="D37" s="41" t="n">
        <f aca="false">C37*$C$33</f>
        <v>70</v>
      </c>
    </row>
    <row r="38" customFormat="false" ht="13.8" hidden="false" customHeight="false" outlineLevel="0" collapsed="false">
      <c r="B38" s="39" t="s">
        <v>25</v>
      </c>
      <c r="C38" s="40" t="n">
        <f aca="false">VLOOKUP($C$32&amp;"-"&amp;B38,Planilha2!$A:$D,4,0)</f>
        <v>0.08</v>
      </c>
      <c r="D38" s="41" t="n">
        <f aca="false">C38*$C$33</f>
        <v>16</v>
      </c>
    </row>
    <row r="39" customFormat="false" ht="13.8" hidden="false" customHeight="false" outlineLevel="0" collapsed="false">
      <c r="B39" s="39" t="s">
        <v>26</v>
      </c>
      <c r="C39" s="40" t="n">
        <f aca="false">VLOOKUP($C$32&amp;"-"&amp;B39,Planilha2!$A:$D,4,0)</f>
        <v>0.05</v>
      </c>
      <c r="D39" s="41" t="n">
        <f aca="false">C39*$C$33</f>
        <v>10</v>
      </c>
    </row>
    <row r="40" customFormat="false" ht="13.8" hidden="false" customHeight="false" outlineLevel="0" collapsed="false">
      <c r="B40" s="39" t="s">
        <v>27</v>
      </c>
      <c r="C40" s="40" t="n">
        <f aca="false">VLOOKUP($C$32&amp;"-"&amp;B40,Planilha2!$A:$D,4,0)</f>
        <v>0.1</v>
      </c>
      <c r="D40" s="41" t="n">
        <f aca="false">C40*$C$33</f>
        <v>20</v>
      </c>
    </row>
    <row r="41" customFormat="false" ht="13.8" hidden="false" customHeight="false" outlineLevel="0" collapsed="false">
      <c r="B41" s="39" t="s">
        <v>28</v>
      </c>
      <c r="C41" s="40" t="n">
        <f aca="false">VLOOKUP($C$32&amp;"-"&amp;B41,Planilha2!$A:$D,4,0)</f>
        <v>0.1</v>
      </c>
      <c r="D41" s="41" t="n">
        <f aca="false">C41*$C$33</f>
        <v>20</v>
      </c>
    </row>
    <row r="42" customFormat="false" ht="13.8" hidden="false" customHeight="false" outlineLevel="0" collapsed="false">
      <c r="B42" s="42"/>
      <c r="C42" s="42"/>
      <c r="D42" s="43" t="n">
        <f aca="false">SUM(D36:D41)</f>
        <v>200</v>
      </c>
    </row>
    <row r="60" customFormat="false" ht="13.8" hidden="false" customHeight="false" outlineLevel="0" collapsed="false">
      <c r="A60" s="44"/>
      <c r="B60" s="44"/>
      <c r="C60" s="44"/>
      <c r="D60" s="44"/>
      <c r="E60" s="44"/>
      <c r="F60" s="44"/>
      <c r="G60" s="44"/>
      <c r="H60" s="44"/>
    </row>
  </sheetData>
  <mergeCells count="10">
    <mergeCell ref="B12:C12"/>
    <mergeCell ref="B13:C13"/>
    <mergeCell ref="B14:C14"/>
    <mergeCell ref="B16:D16"/>
    <mergeCell ref="B17:C17"/>
    <mergeCell ref="B18:C18"/>
    <mergeCell ref="B19:C19"/>
    <mergeCell ref="B20:C20"/>
    <mergeCell ref="B21:C21"/>
    <mergeCell ref="B23:C23"/>
  </mergeCells>
  <dataValidations count="1">
    <dataValidation allowBlank="true" operator="between" showDropDown="false" showErrorMessage="true" showInputMessage="true" sqref="C32" type="list">
      <formula1>"Conservador,Moderado,Agressivo"</formula1>
      <formula2>0</formula2>
    </dataValidation>
  </dataValidation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H21"/>
  <sheetViews>
    <sheetView showFormulas="false" showGridLines="fals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J5" activeCellId="0" sqref="J5"/>
    </sheetView>
  </sheetViews>
  <sheetFormatPr defaultRowHeight="14.5" zeroHeight="false" outlineLevelRow="0" outlineLevelCol="0"/>
  <cols>
    <col collapsed="false" customWidth="true" hidden="false" outlineLevel="0" max="1" min="1" style="0" width="29.18"/>
    <col collapsed="false" customWidth="false" hidden="false" outlineLevel="0" max="2" min="2" style="0" width="11.55"/>
    <col collapsed="false" customWidth="true" hidden="false" outlineLevel="0" max="3" min="3" style="0" width="19.77"/>
    <col collapsed="false" customWidth="true" hidden="false" outlineLevel="0" max="6" min="4" style="0" width="8.75"/>
    <col collapsed="false" customWidth="true" hidden="false" outlineLevel="0" max="7" min="7" style="0" width="16.82"/>
    <col collapsed="false" customWidth="true" hidden="false" outlineLevel="0" max="1025" min="8" style="0" width="8.75"/>
  </cols>
  <sheetData>
    <row r="2" customFormat="false" ht="14.5" hidden="false" customHeight="false" outlineLevel="0" collapsed="false">
      <c r="A2" s="45" t="s">
        <v>29</v>
      </c>
      <c r="B2" s="45" t="s">
        <v>17</v>
      </c>
      <c r="C2" s="46" t="s">
        <v>20</v>
      </c>
      <c r="D2" s="46" t="s">
        <v>30</v>
      </c>
    </row>
    <row r="3" customFormat="false" ht="14.5" hidden="false" customHeight="false" outlineLevel="0" collapsed="false">
      <c r="A3" s="0" t="str">
        <f aca="false">B3&amp;"-"&amp;C3</f>
        <v>Conservador-PAPEL</v>
      </c>
      <c r="B3" s="0" t="s">
        <v>31</v>
      </c>
      <c r="C3" s="39" t="s">
        <v>23</v>
      </c>
      <c r="D3" s="40" t="n">
        <v>0.3</v>
      </c>
      <c r="H3" s="0" t="s">
        <v>30</v>
      </c>
    </row>
    <row r="4" customFormat="false" ht="13.8" hidden="false" customHeight="false" outlineLevel="0" collapsed="false">
      <c r="A4" s="0" t="str">
        <f aca="false">B4&amp;"-"&amp;C4</f>
        <v>Conservador-TIJOLO</v>
      </c>
      <c r="B4" s="0" t="s">
        <v>31</v>
      </c>
      <c r="C4" s="39" t="s">
        <v>24</v>
      </c>
      <c r="D4" s="40" t="n">
        <v>0.5</v>
      </c>
      <c r="G4" s="47" t="s">
        <v>32</v>
      </c>
      <c r="H4" s="48" t="n">
        <f aca="false">VLOOKUP(G4,$A:$D,4,0)</f>
        <v>0.35</v>
      </c>
    </row>
    <row r="5" customFormat="false" ht="14.5" hidden="false" customHeight="false" outlineLevel="0" collapsed="false">
      <c r="A5" s="0" t="str">
        <f aca="false">B5&amp;"-"&amp;C5</f>
        <v>Conservador-HÍBRIDOS</v>
      </c>
      <c r="B5" s="0" t="s">
        <v>31</v>
      </c>
      <c r="C5" s="39" t="s">
        <v>25</v>
      </c>
      <c r="D5" s="40" t="n">
        <v>0.1</v>
      </c>
    </row>
    <row r="6" customFormat="false" ht="14.5" hidden="false" customHeight="false" outlineLevel="0" collapsed="false">
      <c r="A6" s="0" t="str">
        <f aca="false">B6&amp;"-"&amp;C6</f>
        <v>Conservador-FOFs</v>
      </c>
      <c r="B6" s="0" t="s">
        <v>31</v>
      </c>
      <c r="C6" s="39" t="s">
        <v>26</v>
      </c>
      <c r="D6" s="40" t="n">
        <v>0.1</v>
      </c>
    </row>
    <row r="7" customFormat="false" ht="14.5" hidden="false" customHeight="false" outlineLevel="0" collapsed="false">
      <c r="A7" s="0" t="str">
        <f aca="false">B7&amp;"-"&amp;C7</f>
        <v>Conservador-DESENVOLVIMENTO</v>
      </c>
      <c r="B7" s="0" t="s">
        <v>31</v>
      </c>
      <c r="C7" s="39" t="s">
        <v>27</v>
      </c>
      <c r="D7" s="40" t="n">
        <v>0</v>
      </c>
    </row>
    <row r="8" customFormat="false" ht="15" hidden="false" customHeight="false" outlineLevel="0" collapsed="false">
      <c r="A8" s="49" t="str">
        <f aca="false">B8&amp;"-"&amp;C8</f>
        <v>Conservador-HOTELARIAS</v>
      </c>
      <c r="B8" s="49" t="s">
        <v>31</v>
      </c>
      <c r="C8" s="50" t="s">
        <v>28</v>
      </c>
      <c r="D8" s="51" t="n">
        <v>0</v>
      </c>
    </row>
    <row r="9" customFormat="false" ht="14.5" hidden="false" customHeight="false" outlineLevel="0" collapsed="false">
      <c r="A9" s="0" t="str">
        <f aca="false">B9&amp;"-"&amp;C9</f>
        <v>Moderado-PAPEL</v>
      </c>
      <c r="B9" s="0" t="s">
        <v>18</v>
      </c>
      <c r="C9" s="39" t="s">
        <v>23</v>
      </c>
      <c r="D9" s="40" t="n">
        <v>0.32</v>
      </c>
    </row>
    <row r="10" customFormat="false" ht="14.5" hidden="false" customHeight="false" outlineLevel="0" collapsed="false">
      <c r="A10" s="52" t="str">
        <f aca="false">B10&amp;"-"&amp;C10</f>
        <v>Moderado-TIJOLO</v>
      </c>
      <c r="B10" s="52" t="s">
        <v>18</v>
      </c>
      <c r="C10" s="53" t="s">
        <v>24</v>
      </c>
      <c r="D10" s="54" t="n">
        <v>0.35</v>
      </c>
    </row>
    <row r="11" customFormat="false" ht="14.5" hidden="false" customHeight="false" outlineLevel="0" collapsed="false">
      <c r="A11" s="0" t="str">
        <f aca="false">B11&amp;"-"&amp;C11</f>
        <v>Moderado-HÍBRIDOS</v>
      </c>
      <c r="B11" s="0" t="s">
        <v>18</v>
      </c>
      <c r="C11" s="39" t="s">
        <v>25</v>
      </c>
      <c r="D11" s="40" t="n">
        <v>0.08</v>
      </c>
    </row>
    <row r="12" customFormat="false" ht="14.5" hidden="false" customHeight="false" outlineLevel="0" collapsed="false">
      <c r="A12" s="0" t="str">
        <f aca="false">B12&amp;"-"&amp;C12</f>
        <v>Moderado-FOFs</v>
      </c>
      <c r="B12" s="0" t="s">
        <v>18</v>
      </c>
      <c r="C12" s="39" t="s">
        <v>26</v>
      </c>
      <c r="D12" s="40" t="n">
        <v>0.05</v>
      </c>
    </row>
    <row r="13" customFormat="false" ht="14.5" hidden="false" customHeight="false" outlineLevel="0" collapsed="false">
      <c r="A13" s="0" t="str">
        <f aca="false">B13&amp;"-"&amp;C13</f>
        <v>Moderado-DESENVOLVIMENTO</v>
      </c>
      <c r="B13" s="0" t="s">
        <v>18</v>
      </c>
      <c r="C13" s="39" t="s">
        <v>27</v>
      </c>
      <c r="D13" s="40" t="n">
        <v>0.1</v>
      </c>
    </row>
    <row r="14" customFormat="false" ht="13.8" hidden="false" customHeight="false" outlineLevel="0" collapsed="false">
      <c r="A14" s="55" t="str">
        <f aca="false">B14&amp;"-"&amp;C14</f>
        <v>Moderado-HOTELARIAS</v>
      </c>
      <c r="B14" s="55" t="s">
        <v>18</v>
      </c>
      <c r="C14" s="56" t="s">
        <v>28</v>
      </c>
      <c r="D14" s="57" t="n">
        <v>0.1</v>
      </c>
    </row>
    <row r="15" customFormat="false" ht="14.5" hidden="false" customHeight="false" outlineLevel="0" collapsed="false">
      <c r="A15" s="0" t="str">
        <f aca="false">B15&amp;"-"&amp;C15</f>
        <v>Agressivo-PAPEL</v>
      </c>
      <c r="B15" s="0" t="s">
        <v>33</v>
      </c>
      <c r="C15" s="39" t="s">
        <v>23</v>
      </c>
      <c r="D15" s="40" t="n">
        <v>0.5</v>
      </c>
    </row>
    <row r="16" customFormat="false" ht="14.5" hidden="false" customHeight="false" outlineLevel="0" collapsed="false">
      <c r="A16" s="0" t="str">
        <f aca="false">B16&amp;"-"&amp;C16</f>
        <v>Agressivo-TIJOLO</v>
      </c>
      <c r="B16" s="0" t="s">
        <v>33</v>
      </c>
      <c r="C16" s="39" t="s">
        <v>24</v>
      </c>
      <c r="D16" s="40" t="n">
        <v>0.1</v>
      </c>
    </row>
    <row r="17" customFormat="false" ht="14.5" hidden="false" customHeight="false" outlineLevel="0" collapsed="false">
      <c r="A17" s="0" t="str">
        <f aca="false">B17&amp;"-"&amp;C17</f>
        <v>Agressivo-HÍBRIDOS</v>
      </c>
      <c r="B17" s="0" t="s">
        <v>33</v>
      </c>
      <c r="C17" s="39" t="s">
        <v>25</v>
      </c>
      <c r="D17" s="40" t="n">
        <v>0.05</v>
      </c>
    </row>
    <row r="18" customFormat="false" ht="14.5" hidden="false" customHeight="false" outlineLevel="0" collapsed="false">
      <c r="A18" s="0" t="str">
        <f aca="false">B18&amp;"-"&amp;C18</f>
        <v>Agressivo-FOFs</v>
      </c>
      <c r="B18" s="0" t="s">
        <v>33</v>
      </c>
      <c r="C18" s="39" t="s">
        <v>26</v>
      </c>
      <c r="D18" s="40" t="n">
        <v>0.05</v>
      </c>
    </row>
    <row r="19" customFormat="false" ht="14.5" hidden="false" customHeight="false" outlineLevel="0" collapsed="false">
      <c r="A19" s="0" t="str">
        <f aca="false">B19&amp;"-"&amp;C19</f>
        <v>Agressivo-DESENVOLVIMENTO</v>
      </c>
      <c r="B19" s="0" t="s">
        <v>33</v>
      </c>
      <c r="C19" s="39" t="s">
        <v>27</v>
      </c>
      <c r="D19" s="40" t="n">
        <v>0.2</v>
      </c>
    </row>
    <row r="20" customFormat="false" ht="14.5" hidden="false" customHeight="false" outlineLevel="0" collapsed="false">
      <c r="A20" s="0" t="str">
        <f aca="false">B20&amp;"-"&amp;C20</f>
        <v>Agressivo-HOTELARIAS</v>
      </c>
      <c r="B20" s="0" t="s">
        <v>33</v>
      </c>
      <c r="C20" s="39" t="s">
        <v>28</v>
      </c>
      <c r="D20" s="40" t="n">
        <v>0.1</v>
      </c>
    </row>
    <row r="21" customFormat="false" ht="14.5" hidden="false" customHeight="false" outlineLevel="0" collapsed="false">
      <c r="D21" s="3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62BBC473-00BC-48E4-BFA3-FE8E2B1F0015}"/>
</file>

<file path=customXml/itemProps2.xml><?xml version="1.0" encoding="utf-8"?>
<ds:datastoreItem xmlns:ds="http://schemas.openxmlformats.org/officeDocument/2006/customXml" ds:itemID="{C32110DE-3D77-470C-9CED-65521C30E3F6}"/>
</file>

<file path=customXml/itemProps3.xml><?xml version="1.0" encoding="utf-8"?>
<ds:datastoreItem xmlns:ds="http://schemas.openxmlformats.org/officeDocument/2006/customXml" ds:itemID="{54D0D6DD-E6DB-45C8-8F90-E314C090C08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2025-04-16T18:38:03Z</dcterms:created>
  <dc:creator>Felipe Silva Aguiar</dc:creator>
  <dc:description/>
  <dc:language>pt-BR</dc:language>
  <cp:lastModifiedBy/>
  <dcterms:modified xsi:type="dcterms:W3CDTF">2026-10-10T01:31:22Z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0x01010001E48B58A68BE64E9120D347E3E06B3A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